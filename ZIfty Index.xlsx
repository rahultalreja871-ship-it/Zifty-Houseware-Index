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35d75fff62c776/Documents/"/>
    </mc:Choice>
  </mc:AlternateContent>
  <xr:revisionPtr revIDLastSave="0" documentId="8_{26664854-4149-4D86-BC93-CE264E37234D}" xr6:coauthVersionLast="47" xr6:coauthVersionMax="47" xr10:uidLastSave="{00000000-0000-0000-0000-000000000000}"/>
  <bookViews>
    <workbookView xWindow="-120" yWindow="-120" windowWidth="20730" windowHeight="11760" activeTab="1" xr2:uid="{ED1580BF-5FC7-411E-AF75-EA0D4B184B57}"/>
  </bookViews>
  <sheets>
    <sheet name="Sheet1" sheetId="1" r:id="rId1"/>
    <sheet name="Sheet2" sheetId="2" r:id="rId2"/>
  </sheets>
  <definedNames>
    <definedName name="_xlnm._FilterDatabase" localSheetId="0" hidden="1">Sheet1!$B$4:$G$4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2" l="1"/>
  <c r="P43" i="2"/>
  <c r="P36" i="2"/>
  <c r="P37" i="2"/>
  <c r="P38" i="2"/>
  <c r="P39" i="2"/>
  <c r="P40" i="2"/>
  <c r="P41" i="2"/>
  <c r="P42" i="2"/>
  <c r="P35" i="2"/>
  <c r="O36" i="2"/>
  <c r="O37" i="2"/>
  <c r="O38" i="2"/>
  <c r="O39" i="2"/>
  <c r="O40" i="2"/>
  <c r="O41" i="2"/>
  <c r="O42" i="2"/>
  <c r="O35" i="2"/>
  <c r="F47" i="2" s="1"/>
  <c r="N43" i="2"/>
  <c r="N36" i="2"/>
  <c r="N37" i="2"/>
  <c r="N38" i="2"/>
  <c r="N39" i="2"/>
  <c r="N40" i="2"/>
  <c r="N41" i="2"/>
  <c r="N42" i="2"/>
  <c r="N35" i="2"/>
  <c r="F45" i="2"/>
  <c r="M19" i="2"/>
  <c r="M20" i="2"/>
  <c r="M21" i="2"/>
  <c r="M22" i="2"/>
  <c r="M23" i="2"/>
  <c r="M24" i="2"/>
  <c r="M25" i="2"/>
  <c r="M43" i="2"/>
  <c r="M36" i="2"/>
  <c r="M37" i="2"/>
  <c r="M38" i="2"/>
  <c r="M39" i="2"/>
  <c r="M40" i="2"/>
  <c r="M41" i="2"/>
  <c r="M42" i="2"/>
  <c r="M35" i="2"/>
  <c r="J43" i="2"/>
  <c r="J36" i="2"/>
  <c r="J37" i="2"/>
  <c r="J38" i="2"/>
  <c r="J39" i="2"/>
  <c r="J40" i="2"/>
  <c r="J41" i="2"/>
  <c r="J42" i="2"/>
  <c r="J35" i="2"/>
  <c r="H36" i="2"/>
  <c r="H37" i="2"/>
  <c r="H38" i="2"/>
  <c r="H39" i="2"/>
  <c r="H40" i="2"/>
  <c r="H41" i="2"/>
  <c r="H42" i="2"/>
  <c r="H35" i="2"/>
  <c r="G43" i="2"/>
  <c r="G36" i="2"/>
  <c r="G37" i="2"/>
  <c r="G38" i="2"/>
  <c r="G39" i="2"/>
  <c r="G40" i="2"/>
  <c r="G41" i="2"/>
  <c r="G42" i="2"/>
  <c r="G35" i="2"/>
  <c r="K19" i="2"/>
  <c r="K20" i="2"/>
  <c r="K21" i="2"/>
  <c r="K22" i="2"/>
  <c r="K23" i="2"/>
  <c r="K24" i="2"/>
  <c r="K25" i="2"/>
  <c r="K18" i="2"/>
  <c r="K26" i="2" s="1"/>
  <c r="F25" i="2"/>
  <c r="H25" i="2" s="1"/>
  <c r="E26" i="2"/>
  <c r="F24" i="2" s="1"/>
  <c r="H24" i="2" s="1"/>
  <c r="I7" i="2"/>
  <c r="I8" i="2"/>
  <c r="I9" i="2"/>
  <c r="I10" i="2"/>
  <c r="I11" i="2"/>
  <c r="I12" i="2"/>
  <c r="I13" i="2"/>
  <c r="I6" i="2"/>
  <c r="G7" i="2"/>
  <c r="G8" i="2"/>
  <c r="G9" i="2"/>
  <c r="G10" i="2"/>
  <c r="G11" i="2"/>
  <c r="G12" i="2"/>
  <c r="G13" i="2"/>
  <c r="G6" i="2"/>
  <c r="F23" i="2" l="1"/>
  <c r="H23" i="2" s="1"/>
  <c r="F22" i="2"/>
  <c r="H22" i="2" s="1"/>
  <c r="F21" i="2"/>
  <c r="H21" i="2" s="1"/>
  <c r="F20" i="2"/>
  <c r="H20" i="2" s="1"/>
  <c r="F18" i="2"/>
  <c r="H18" i="2" s="1"/>
  <c r="L25" i="2"/>
  <c r="L23" i="2"/>
  <c r="L22" i="2"/>
  <c r="L18" i="2"/>
  <c r="M18" i="2" s="1"/>
  <c r="L21" i="2"/>
  <c r="L24" i="2"/>
  <c r="L20" i="2"/>
  <c r="L19" i="2"/>
  <c r="F19" i="2"/>
  <c r="H19" i="2" s="1"/>
  <c r="H26" i="2" l="1"/>
  <c r="F28" i="2" s="1"/>
  <c r="M26" i="2"/>
  <c r="F29" i="2" s="1"/>
  <c r="F30" i="2" s="1"/>
</calcChain>
</file>

<file path=xl/sharedStrings.xml><?xml version="1.0" encoding="utf-8"?>
<sst xmlns="http://schemas.openxmlformats.org/spreadsheetml/2006/main" count="82" uniqueCount="38">
  <si>
    <t>S.No.</t>
  </si>
  <si>
    <t>Name</t>
  </si>
  <si>
    <t xml:space="preserve">CMP Rs. </t>
  </si>
  <si>
    <t xml:space="preserve">Mar Cap Rs.Cr. </t>
  </si>
  <si>
    <t xml:space="preserve">Prom. Hold. % </t>
  </si>
  <si>
    <t>Cello World</t>
  </si>
  <si>
    <t>Hawkins Cookers</t>
  </si>
  <si>
    <t>Borosil</t>
  </si>
  <si>
    <t>All Time Plastic</t>
  </si>
  <si>
    <t>Inflame Applian.</t>
  </si>
  <si>
    <t>Maruti Interior</t>
  </si>
  <si>
    <t>Gothi Plascon</t>
  </si>
  <si>
    <t>Gorani Industrie</t>
  </si>
  <si>
    <t>T</t>
  </si>
  <si>
    <t>Total Quantity</t>
  </si>
  <si>
    <t>Free Float%</t>
  </si>
  <si>
    <t>#Basic Data</t>
  </si>
  <si>
    <t>Zifty Houseware Index</t>
  </si>
  <si>
    <t>#Market Capitalization Based Index</t>
  </si>
  <si>
    <t>Market Cap%</t>
  </si>
  <si>
    <t>TOTAL</t>
  </si>
  <si>
    <t>Price*Mark Cap%</t>
  </si>
  <si>
    <t>Price of Zifty Houseware Index Today</t>
  </si>
  <si>
    <t>Price-Tommorow</t>
  </si>
  <si>
    <t>Quantity</t>
  </si>
  <si>
    <t>Mark Cap%</t>
  </si>
  <si>
    <t>Price Tomm*Mark Cap%</t>
  </si>
  <si>
    <t>Price of Zifty Houseware Index Tomorrow</t>
  </si>
  <si>
    <t>#Free Float Based Index</t>
  </si>
  <si>
    <t>Market Cap Rs.Cr.</t>
  </si>
  <si>
    <t>Free Float Rs.Cr</t>
  </si>
  <si>
    <t>Change In Price Percentage</t>
  </si>
  <si>
    <t>Free Flow Mar Cap%</t>
  </si>
  <si>
    <t>Price</t>
  </si>
  <si>
    <t>Price*FFM Cap%</t>
  </si>
  <si>
    <t>FFM Cap%</t>
  </si>
  <si>
    <t>Market Cap</t>
  </si>
  <si>
    <t>FFM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</si>
</sst>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0.0%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DashDot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4" fillId="0" borderId="0" xfId="3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3" applyAlignment="1">
      <alignment vertical="center" wrapText="1"/>
    </xf>
    <xf numFmtId="0" fontId="0" fillId="0" borderId="0" xfId="0" applyAlignment="1">
      <alignment horizontal="left" vertical="center" indent="7"/>
    </xf>
    <xf numFmtId="0" fontId="3" fillId="0" borderId="0" xfId="0" applyFont="1" applyAlignment="1">
      <alignment horizontal="left" vertical="center" indent="7"/>
    </xf>
    <xf numFmtId="0" fontId="0" fillId="0" borderId="0" xfId="0" applyAlignment="1">
      <alignment horizontal="left" vertical="center" indent="1"/>
    </xf>
    <xf numFmtId="0" fontId="4" fillId="0" borderId="0" xfId="3" applyAlignment="1">
      <alignment horizontal="left" vertical="center" indent="1"/>
    </xf>
    <xf numFmtId="9" fontId="0" fillId="0" borderId="0" xfId="2" applyFont="1" applyAlignment="1">
      <alignment vertical="center" wrapText="1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2" fillId="4" borderId="2" xfId="0" applyFont="1" applyFill="1" applyBorder="1"/>
    <xf numFmtId="0" fontId="2" fillId="4" borderId="1" xfId="0" applyFont="1" applyFill="1" applyBorder="1"/>
    <xf numFmtId="1" fontId="2" fillId="4" borderId="3" xfId="0" applyNumberFormat="1" applyFont="1" applyFill="1" applyBorder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70" fontId="0" fillId="0" borderId="1" xfId="2" applyNumberFormat="1" applyFont="1" applyBorder="1" applyAlignment="1">
      <alignment horizontal="center" vertical="center"/>
    </xf>
    <xf numFmtId="9" fontId="0" fillId="0" borderId="1" xfId="2" applyNumberFormat="1" applyFont="1" applyBorder="1" applyAlignment="1">
      <alignment horizontal="center" vertical="center"/>
    </xf>
    <xf numFmtId="1" fontId="0" fillId="0" borderId="1" xfId="2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Border="1"/>
    <xf numFmtId="0" fontId="2" fillId="2" borderId="4" xfId="0" applyFon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2" fillId="4" borderId="3" xfId="2" applyFont="1" applyFill="1" applyBorder="1"/>
    <xf numFmtId="1" fontId="2" fillId="5" borderId="1" xfId="0" applyNumberFormat="1" applyFont="1" applyFill="1" applyBorder="1" applyAlignment="1">
      <alignment horizontal="center" vertical="center"/>
    </xf>
    <xf numFmtId="170" fontId="0" fillId="0" borderId="1" xfId="2" applyNumberFormat="1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1" xfId="2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2" fillId="4" borderId="1" xfId="2" applyNumberFormat="1" applyFont="1" applyFill="1" applyBorder="1" applyAlignment="1">
      <alignment horizontal="center" vertical="center"/>
    </xf>
    <xf numFmtId="9" fontId="2" fillId="5" borderId="1" xfId="2" applyFont="1" applyFill="1" applyBorder="1" applyAlignment="1">
      <alignment horizontal="center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1085850</xdr:colOff>
      <xdr:row>24</xdr:row>
      <xdr:rowOff>142875</xdr:rowOff>
    </xdr:from>
    <xdr:to>
      <xdr:col>2</xdr:col>
      <xdr:colOff>304800</xdr:colOff>
      <xdr:row>26</xdr:row>
      <xdr:rowOff>66675</xdr:rowOff>
    </xdr:to>
    <xdr:sp macro="" textlink="">
      <xdr:nvSpPr>
        <xdr:cNvPr id="1025" name="AutoShape 1" descr="Screener Logo">
          <a:extLst>
            <a:ext uri="{FF2B5EF4-FFF2-40B4-BE49-F238E27FC236}">
              <a16:creationId xmlns:a16="http://schemas.microsoft.com/office/drawing/2014/main" id="{B0318EF7-C5C6-CD1B-AF39-89D25226A3DC}"/>
            </a:ext>
          </a:extLst>
        </xdr:cNvPr>
        <xdr:cNvSpPr>
          <a:spLocks noChangeAspect="1" noChangeArrowheads="1"/>
        </xdr:cNvSpPr>
      </xdr:nvSpPr>
      <xdr:spPr bwMode="auto">
        <a:xfrm>
          <a:off x="1314450" y="62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reener.in/company/BOROLTD/consolidated/" TargetMode="External"/><Relationship Id="rId13" Type="http://schemas.openxmlformats.org/officeDocument/2006/relationships/hyperlink" Target="https://www.screener.in/company/531608/" TargetMode="External"/><Relationship Id="rId3" Type="http://schemas.openxmlformats.org/officeDocument/2006/relationships/hyperlink" Target="https://www.screener.in/market/IN02/IN0202/IN020201/IN020201008/?sort=current+price&amp;order=desc" TargetMode="External"/><Relationship Id="rId7" Type="http://schemas.openxmlformats.org/officeDocument/2006/relationships/hyperlink" Target="https://www.screener.in/company/508486/" TargetMode="External"/><Relationship Id="rId12" Type="http://schemas.openxmlformats.org/officeDocument/2006/relationships/hyperlink" Target="https://www.screener.in/company/531111/" TargetMode="External"/><Relationship Id="rId2" Type="http://schemas.openxmlformats.org/officeDocument/2006/relationships/hyperlink" Target="https://www.screener.in/market/IN02/IN0202/IN020201/IN020201008/?sort=name&amp;order=desc" TargetMode="External"/><Relationship Id="rId1" Type="http://schemas.openxmlformats.org/officeDocument/2006/relationships/hyperlink" Target="https://www.screener.in/market/IN02/IN0202/IN020201/IN020201008/?order=asc" TargetMode="External"/><Relationship Id="rId6" Type="http://schemas.openxmlformats.org/officeDocument/2006/relationships/hyperlink" Target="https://www.screener.in/company/CELLO/consolidated/" TargetMode="External"/><Relationship Id="rId11" Type="http://schemas.openxmlformats.org/officeDocument/2006/relationships/hyperlink" Target="https://www.screener.in/company/543464/" TargetMode="External"/><Relationship Id="rId5" Type="http://schemas.openxmlformats.org/officeDocument/2006/relationships/hyperlink" Target="https://www.screener.in/market/IN02/IN0202/IN020201/IN020201008/?sort=promoter+holding&amp;order=desc" TargetMode="External"/><Relationship Id="rId10" Type="http://schemas.openxmlformats.org/officeDocument/2006/relationships/hyperlink" Target="https://www.screener.in/company/541083/" TargetMode="External"/><Relationship Id="rId4" Type="http://schemas.openxmlformats.org/officeDocument/2006/relationships/hyperlink" Target="https://www.screener.in/market/IN02/IN0202/IN020201/IN020201008/?sort=market+capitalization&amp;order=desc" TargetMode="External"/><Relationship Id="rId9" Type="http://schemas.openxmlformats.org/officeDocument/2006/relationships/hyperlink" Target="https://www.screener.in/company/ALLTIME/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F17B6-028B-49A7-95C6-0CF1F6D3FD3D}">
  <dimension ref="B2:L33"/>
  <sheetViews>
    <sheetView showGridLines="0" workbookViewId="0">
      <selection activeCell="A4" sqref="A4:G12"/>
    </sheetView>
  </sheetViews>
  <sheetFormatPr defaultRowHeight="15" x14ac:dyDescent="0.25"/>
  <cols>
    <col min="1" max="1" width="3.42578125" customWidth="1"/>
    <col min="2" max="2" width="5.7109375" bestFit="1" customWidth="1"/>
    <col min="3" max="3" width="9" bestFit="1" customWidth="1"/>
    <col min="4" max="4" width="8" bestFit="1" customWidth="1"/>
    <col min="5" max="5" width="8.5703125" bestFit="1" customWidth="1"/>
    <col min="6" max="6" width="7.7109375" bestFit="1" customWidth="1"/>
  </cols>
  <sheetData>
    <row r="2" spans="2:12" x14ac:dyDescent="0.25">
      <c r="L2">
        <v>100</v>
      </c>
    </row>
    <row r="4" spans="2:12" ht="30" x14ac:dyDescent="0.25">
      <c r="B4" s="1" t="s">
        <v>0</v>
      </c>
      <c r="C4" s="1" t="s">
        <v>1</v>
      </c>
      <c r="D4" s="1" t="s">
        <v>2</v>
      </c>
      <c r="E4" s="1" t="s">
        <v>3</v>
      </c>
      <c r="F4" t="s">
        <v>13</v>
      </c>
      <c r="G4" s="1" t="s">
        <v>4</v>
      </c>
    </row>
    <row r="5" spans="2:12" ht="30" x14ac:dyDescent="0.25">
      <c r="B5" s="2">
        <v>1</v>
      </c>
      <c r="C5" s="3" t="s">
        <v>5</v>
      </c>
      <c r="D5" s="2">
        <v>570.9</v>
      </c>
      <c r="E5" s="2">
        <v>12610.33</v>
      </c>
      <c r="G5" s="8">
        <v>0.75</v>
      </c>
    </row>
    <row r="6" spans="2:12" ht="30" x14ac:dyDescent="0.25">
      <c r="B6" s="2">
        <v>2</v>
      </c>
      <c r="C6" s="3" t="s">
        <v>6</v>
      </c>
      <c r="D6" s="2">
        <v>8535.4</v>
      </c>
      <c r="E6" s="2">
        <v>4515.2299999999996</v>
      </c>
      <c r="G6" s="8">
        <v>0.56030000000000002</v>
      </c>
    </row>
    <row r="7" spans="2:12" x14ac:dyDescent="0.25">
      <c r="B7" s="2">
        <v>3</v>
      </c>
      <c r="C7" s="3" t="s">
        <v>7</v>
      </c>
      <c r="D7" s="2">
        <v>299.35000000000002</v>
      </c>
      <c r="E7" s="2">
        <v>3579.65</v>
      </c>
      <c r="G7" s="8">
        <v>0.6462</v>
      </c>
    </row>
    <row r="8" spans="2:12" ht="30" x14ac:dyDescent="0.25">
      <c r="B8" s="2">
        <v>4</v>
      </c>
      <c r="C8" s="3" t="s">
        <v>8</v>
      </c>
      <c r="D8" s="2">
        <v>267.45</v>
      </c>
      <c r="E8" s="2">
        <v>1752.01</v>
      </c>
      <c r="G8" s="8">
        <v>0.70140000000000002</v>
      </c>
    </row>
    <row r="9" spans="2:12" ht="30" x14ac:dyDescent="0.25">
      <c r="B9" s="2">
        <v>5</v>
      </c>
      <c r="C9" s="3" t="s">
        <v>9</v>
      </c>
      <c r="D9" s="2">
        <v>328.85</v>
      </c>
      <c r="E9" s="2">
        <v>246.34</v>
      </c>
      <c r="G9" s="8">
        <v>0.44719999999999999</v>
      </c>
    </row>
    <row r="10" spans="2:12" ht="30" x14ac:dyDescent="0.25">
      <c r="B10" s="2">
        <v>6</v>
      </c>
      <c r="C10" s="3" t="s">
        <v>10</v>
      </c>
      <c r="D10" s="2">
        <v>149</v>
      </c>
      <c r="E10" s="2">
        <v>224.99</v>
      </c>
      <c r="G10" s="8">
        <v>0.7498999999999999</v>
      </c>
    </row>
    <row r="11" spans="2:12" ht="30" x14ac:dyDescent="0.25">
      <c r="B11" s="2">
        <v>7</v>
      </c>
      <c r="C11" s="3" t="s">
        <v>11</v>
      </c>
      <c r="D11" s="2">
        <v>41.25</v>
      </c>
      <c r="E11" s="2">
        <v>42.08</v>
      </c>
      <c r="G11" s="8">
        <v>0.7339</v>
      </c>
    </row>
    <row r="12" spans="2:12" ht="30" x14ac:dyDescent="0.25">
      <c r="B12" s="2">
        <v>8</v>
      </c>
      <c r="C12" s="3" t="s">
        <v>12</v>
      </c>
      <c r="D12" s="2">
        <v>63.6</v>
      </c>
      <c r="E12" s="2">
        <v>34.11</v>
      </c>
      <c r="G12" s="8">
        <v>0.62259999999999993</v>
      </c>
    </row>
    <row r="13" spans="2:12" x14ac:dyDescent="0.25">
      <c r="B13" s="4"/>
    </row>
    <row r="14" spans="2:12" x14ac:dyDescent="0.25">
      <c r="B14" s="4"/>
    </row>
    <row r="15" spans="2:12" x14ac:dyDescent="0.25">
      <c r="B15" s="5"/>
    </row>
    <row r="16" spans="2:12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x14ac:dyDescent="0.25">
      <c r="B21" s="4"/>
    </row>
    <row r="22" spans="2:2" x14ac:dyDescent="0.25">
      <c r="B22" s="4"/>
    </row>
    <row r="25" spans="2:2" x14ac:dyDescent="0.25">
      <c r="B25" s="6"/>
    </row>
    <row r="26" spans="2:2" x14ac:dyDescent="0.25">
      <c r="B26" s="7"/>
    </row>
    <row r="27" spans="2:2" x14ac:dyDescent="0.25">
      <c r="B27" s="7"/>
    </row>
    <row r="28" spans="2:2" x14ac:dyDescent="0.25">
      <c r="B28" s="7"/>
    </row>
    <row r="31" spans="2:2" x14ac:dyDescent="0.25">
      <c r="B31" s="6"/>
    </row>
    <row r="32" spans="2:2" x14ac:dyDescent="0.25">
      <c r="B32" s="7"/>
    </row>
    <row r="33" spans="2:2" x14ac:dyDescent="0.25">
      <c r="B33" s="7"/>
    </row>
  </sheetData>
  <hyperlinks>
    <hyperlink ref="B4" r:id="rId1" display="https://www.screener.in/market/IN02/IN0202/IN020201/IN020201008/?order=asc" xr:uid="{A66DE039-35FA-46F5-9931-818458F1A811}"/>
    <hyperlink ref="C4" r:id="rId2" display="https://www.screener.in/market/IN02/IN0202/IN020201/IN020201008/?sort=name&amp;order=desc" xr:uid="{4C64036E-7FAA-42F2-BF52-9F7F33B98D4B}"/>
    <hyperlink ref="D4" r:id="rId3" display="https://www.screener.in/market/IN02/IN0202/IN020201/IN020201008/?sort=current+price&amp;order=desc" xr:uid="{247ABFBA-CA1F-496C-94CF-2FB2B3B39989}"/>
    <hyperlink ref="E4" r:id="rId4" display="https://www.screener.in/market/IN02/IN0202/IN020201/IN020201008/?sort=market+capitalization&amp;order=desc" xr:uid="{684E855B-042A-4BEC-B33F-771189747741}"/>
    <hyperlink ref="G4" r:id="rId5" display="https://www.screener.in/market/IN02/IN0202/IN020201/IN020201008/?sort=promoter+holding&amp;order=desc" xr:uid="{3664D042-F324-434D-9CD3-C82DC7594EED}"/>
    <hyperlink ref="C5" r:id="rId6" display="https://www.screener.in/company/CELLO/consolidated/" xr:uid="{FC4975C9-2EFB-449C-B5E5-0005422EE266}"/>
    <hyperlink ref="C6" r:id="rId7" display="https://www.screener.in/company/508486/" xr:uid="{6AFECC4A-FAB9-42B3-856C-B7F4E4C6F0E3}"/>
    <hyperlink ref="C7" r:id="rId8" display="https://www.screener.in/company/BOROLTD/consolidated/" xr:uid="{3F447683-4FF3-4BE5-844C-FDE0FB44E506}"/>
    <hyperlink ref="C8" r:id="rId9" display="https://www.screener.in/company/ALLTIME/" xr:uid="{8A9DAD80-A1FE-4AC2-9574-F1AD34A27A30}"/>
    <hyperlink ref="C9" r:id="rId10" display="https://www.screener.in/company/541083/" xr:uid="{4CECC7A8-2E6B-481C-A6CC-39A760EA641B}"/>
    <hyperlink ref="C10" r:id="rId11" display="https://www.screener.in/company/543464/" xr:uid="{F54472BA-C2D8-4B09-9D30-283372A23A2F}"/>
    <hyperlink ref="C11" r:id="rId12" display="https://www.screener.in/company/531111/" xr:uid="{DAF53E04-F835-4CE8-881F-6AA3A615E98D}"/>
    <hyperlink ref="C12" r:id="rId13" display="https://www.screener.in/company/531608/" xr:uid="{818A9EE1-74B3-4783-83BC-71E5ECA2A83C}"/>
  </hyperlinks>
  <pageMargins left="0.7" right="0.7" top="0.75" bottom="0.75" header="0.3" footer="0.3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92D1-F8A8-4607-BB74-30AA9AE6B34A}">
  <dimension ref="B2:P47"/>
  <sheetViews>
    <sheetView showGridLines="0" tabSelected="1" zoomScale="67" workbookViewId="0">
      <selection activeCell="N13" sqref="N13"/>
    </sheetView>
  </sheetViews>
  <sheetFormatPr defaultRowHeight="15" x14ac:dyDescent="0.25"/>
  <cols>
    <col min="1" max="1" width="3.140625" customWidth="1"/>
    <col min="3" max="3" width="5.7109375" bestFit="1" customWidth="1"/>
    <col min="4" max="4" width="6.28515625" bestFit="1" customWidth="1"/>
    <col min="5" max="5" width="14.28515625" bestFit="1" customWidth="1"/>
    <col min="6" max="6" width="11.42578125" bestFit="1" customWidth="1"/>
    <col min="7" max="7" width="14.85546875" bestFit="1" customWidth="1"/>
    <col min="8" max="8" width="19.28515625" bestFit="1" customWidth="1"/>
    <col min="9" max="9" width="16.42578125" bestFit="1" customWidth="1"/>
    <col min="10" max="10" width="15.7109375" bestFit="1" customWidth="1"/>
    <col min="11" max="11" width="16.7109375" bestFit="1" customWidth="1"/>
    <col min="12" max="12" width="10.85546875" bestFit="1" customWidth="1"/>
    <col min="13" max="13" width="11.140625" bestFit="1" customWidth="1"/>
    <col min="14" max="14" width="8.5703125" bestFit="1" customWidth="1"/>
    <col min="15" max="15" width="10.140625" bestFit="1" customWidth="1"/>
    <col min="16" max="16" width="15.7109375" bestFit="1" customWidth="1"/>
  </cols>
  <sheetData>
    <row r="2" spans="2:9" x14ac:dyDescent="0.25">
      <c r="C2" s="10" t="s">
        <v>17</v>
      </c>
      <c r="D2" s="10"/>
      <c r="E2" s="10"/>
      <c r="F2" s="10"/>
      <c r="G2" s="10"/>
      <c r="H2" s="10"/>
      <c r="I2" s="10"/>
    </row>
    <row r="4" spans="2:9" x14ac:dyDescent="0.25">
      <c r="B4" s="9" t="s">
        <v>16</v>
      </c>
    </row>
    <row r="5" spans="2:9" x14ac:dyDescent="0.25">
      <c r="C5" s="23" t="s">
        <v>0</v>
      </c>
      <c r="D5" s="23" t="s">
        <v>1</v>
      </c>
      <c r="E5" s="23" t="s">
        <v>2</v>
      </c>
      <c r="F5" s="23" t="s">
        <v>3</v>
      </c>
      <c r="G5" s="23" t="s">
        <v>14</v>
      </c>
      <c r="H5" s="23" t="s">
        <v>4</v>
      </c>
      <c r="I5" s="23" t="s">
        <v>15</v>
      </c>
    </row>
    <row r="6" spans="2:9" x14ac:dyDescent="0.25">
      <c r="C6" s="24">
        <v>1</v>
      </c>
      <c r="D6" s="24" t="s">
        <v>5</v>
      </c>
      <c r="E6" s="25">
        <v>570.9</v>
      </c>
      <c r="F6" s="25">
        <v>12610.33</v>
      </c>
      <c r="G6" s="25">
        <f>F6/E6</f>
        <v>22.088509371168332</v>
      </c>
      <c r="H6" s="26">
        <v>0.75</v>
      </c>
      <c r="I6" s="26">
        <f>1-H6</f>
        <v>0.25</v>
      </c>
    </row>
    <row r="7" spans="2:9" x14ac:dyDescent="0.25">
      <c r="C7" s="24">
        <v>2</v>
      </c>
      <c r="D7" s="24" t="s">
        <v>6</v>
      </c>
      <c r="E7" s="25">
        <v>8535.4</v>
      </c>
      <c r="F7" s="25">
        <v>4515.2299999999996</v>
      </c>
      <c r="G7" s="25">
        <f t="shared" ref="G7:G13" si="0">F7/E7</f>
        <v>0.52900039834102675</v>
      </c>
      <c r="H7" s="26">
        <v>0.56030000000000002</v>
      </c>
      <c r="I7" s="26">
        <f t="shared" ref="I7:I13" si="1">1-H7</f>
        <v>0.43969999999999998</v>
      </c>
    </row>
    <row r="8" spans="2:9" x14ac:dyDescent="0.25">
      <c r="C8" s="24">
        <v>3</v>
      </c>
      <c r="D8" s="24" t="s">
        <v>7</v>
      </c>
      <c r="E8" s="25">
        <v>299.35000000000002</v>
      </c>
      <c r="F8" s="25">
        <v>3579.65</v>
      </c>
      <c r="G8" s="25">
        <f t="shared" si="0"/>
        <v>11.958075830967095</v>
      </c>
      <c r="H8" s="26">
        <v>0.6462</v>
      </c>
      <c r="I8" s="26">
        <f t="shared" si="1"/>
        <v>0.3538</v>
      </c>
    </row>
    <row r="9" spans="2:9" x14ac:dyDescent="0.25">
      <c r="C9" s="24">
        <v>4</v>
      </c>
      <c r="D9" s="24" t="s">
        <v>8</v>
      </c>
      <c r="E9" s="25">
        <v>267.45</v>
      </c>
      <c r="F9" s="25">
        <v>1752.01</v>
      </c>
      <c r="G9" s="25">
        <f t="shared" si="0"/>
        <v>6.5507945410357076</v>
      </c>
      <c r="H9" s="26">
        <v>0.70140000000000002</v>
      </c>
      <c r="I9" s="26">
        <f t="shared" si="1"/>
        <v>0.29859999999999998</v>
      </c>
    </row>
    <row r="10" spans="2:9" x14ac:dyDescent="0.25">
      <c r="C10" s="24">
        <v>5</v>
      </c>
      <c r="D10" s="24" t="s">
        <v>9</v>
      </c>
      <c r="E10" s="25">
        <v>328.85</v>
      </c>
      <c r="F10" s="25">
        <v>246.34</v>
      </c>
      <c r="G10" s="25">
        <f t="shared" si="0"/>
        <v>0.74909533221833657</v>
      </c>
      <c r="H10" s="26">
        <v>0.44719999999999999</v>
      </c>
      <c r="I10" s="26">
        <f t="shared" si="1"/>
        <v>0.55279999999999996</v>
      </c>
    </row>
    <row r="11" spans="2:9" x14ac:dyDescent="0.25">
      <c r="C11" s="24">
        <v>6</v>
      </c>
      <c r="D11" s="24" t="s">
        <v>10</v>
      </c>
      <c r="E11" s="25">
        <v>149</v>
      </c>
      <c r="F11" s="25">
        <v>224.99</v>
      </c>
      <c r="G11" s="25">
        <f t="shared" si="0"/>
        <v>1.51</v>
      </c>
      <c r="H11" s="26">
        <v>0.7498999999999999</v>
      </c>
      <c r="I11" s="26">
        <f t="shared" si="1"/>
        <v>0.2501000000000001</v>
      </c>
    </row>
    <row r="12" spans="2:9" x14ac:dyDescent="0.25">
      <c r="C12" s="24">
        <v>7</v>
      </c>
      <c r="D12" s="24" t="s">
        <v>11</v>
      </c>
      <c r="E12" s="25">
        <v>41.25</v>
      </c>
      <c r="F12" s="25">
        <v>42.08</v>
      </c>
      <c r="G12" s="25">
        <f t="shared" si="0"/>
        <v>1.020121212121212</v>
      </c>
      <c r="H12" s="26">
        <v>0.7339</v>
      </c>
      <c r="I12" s="26">
        <f t="shared" si="1"/>
        <v>0.2661</v>
      </c>
    </row>
    <row r="13" spans="2:9" x14ac:dyDescent="0.25">
      <c r="C13" s="24">
        <v>8</v>
      </c>
      <c r="D13" s="24" t="s">
        <v>12</v>
      </c>
      <c r="E13" s="25">
        <v>63.6</v>
      </c>
      <c r="F13" s="25">
        <v>34.11</v>
      </c>
      <c r="G13" s="25">
        <f t="shared" si="0"/>
        <v>0.53632075471698115</v>
      </c>
      <c r="H13" s="26">
        <v>0.62259999999999993</v>
      </c>
      <c r="I13" s="26">
        <f t="shared" si="1"/>
        <v>0.37740000000000007</v>
      </c>
    </row>
    <row r="15" spans="2:9" x14ac:dyDescent="0.25">
      <c r="B15" s="9" t="s">
        <v>18</v>
      </c>
      <c r="C15" s="9"/>
      <c r="D15" s="9"/>
      <c r="E15" s="9"/>
    </row>
    <row r="17" spans="2:13" x14ac:dyDescent="0.25">
      <c r="B17" s="27"/>
      <c r="C17" s="15" t="s">
        <v>0</v>
      </c>
      <c r="D17" s="15" t="s">
        <v>1</v>
      </c>
      <c r="E17" s="15" t="s">
        <v>3</v>
      </c>
      <c r="F17" s="15" t="s">
        <v>19</v>
      </c>
      <c r="G17" s="15" t="s">
        <v>2</v>
      </c>
      <c r="H17" s="15" t="s">
        <v>21</v>
      </c>
      <c r="I17" s="28" t="s">
        <v>23</v>
      </c>
      <c r="J17" s="15" t="s">
        <v>24</v>
      </c>
      <c r="K17" s="15" t="s">
        <v>29</v>
      </c>
      <c r="L17" s="15" t="s">
        <v>25</v>
      </c>
      <c r="M17" s="15" t="s">
        <v>26</v>
      </c>
    </row>
    <row r="18" spans="2:13" x14ac:dyDescent="0.25">
      <c r="B18" s="27"/>
      <c r="C18" s="16">
        <v>1</v>
      </c>
      <c r="D18" s="16" t="s">
        <v>5</v>
      </c>
      <c r="E18" s="17">
        <v>12610.33</v>
      </c>
      <c r="F18" s="18">
        <f>E18/$E$26</f>
        <v>0.54816224830187166</v>
      </c>
      <c r="G18" s="17">
        <v>570.9</v>
      </c>
      <c r="H18" s="19">
        <f>G18*F18</f>
        <v>312.94582755553853</v>
      </c>
      <c r="I18" s="29">
        <v>552.9</v>
      </c>
      <c r="J18" s="20">
        <v>22.088509371168332</v>
      </c>
      <c r="K18" s="20">
        <f>I18*J18</f>
        <v>12212.736831318971</v>
      </c>
      <c r="L18" s="18">
        <f>K18/$K$26</f>
        <v>0.5189106479280382</v>
      </c>
      <c r="M18" s="35">
        <f>I18*L18</f>
        <v>286.90569723941229</v>
      </c>
    </row>
    <row r="19" spans="2:13" x14ac:dyDescent="0.25">
      <c r="B19" s="27"/>
      <c r="C19" s="16">
        <v>2</v>
      </c>
      <c r="D19" s="16" t="s">
        <v>6</v>
      </c>
      <c r="E19" s="17">
        <v>4515.2299999999996</v>
      </c>
      <c r="F19" s="18">
        <f t="shared" ref="F19:F25" si="2">E19/$E$26</f>
        <v>0.19627389833573425</v>
      </c>
      <c r="G19" s="17">
        <v>8535.4</v>
      </c>
      <c r="H19" s="19">
        <f t="shared" ref="H19:H25" si="3">G19*F19</f>
        <v>1675.2762318548259</v>
      </c>
      <c r="I19" s="29">
        <v>8535.4</v>
      </c>
      <c r="J19" s="17">
        <v>0.52900039834102675</v>
      </c>
      <c r="K19" s="20">
        <f t="shared" ref="K19:K25" si="4">I19*J19</f>
        <v>4515.2299999999996</v>
      </c>
      <c r="L19" s="18">
        <f t="shared" ref="L19:L25" si="5">K19/$K$26</f>
        <v>0.19184896532246595</v>
      </c>
      <c r="M19" s="35">
        <f t="shared" ref="M19:M25" si="6">I19*L19</f>
        <v>1637.5076586133757</v>
      </c>
    </row>
    <row r="20" spans="2:13" x14ac:dyDescent="0.25">
      <c r="B20" s="27"/>
      <c r="C20" s="16">
        <v>3</v>
      </c>
      <c r="D20" s="16" t="s">
        <v>7</v>
      </c>
      <c r="E20" s="17">
        <v>3579.65</v>
      </c>
      <c r="F20" s="18">
        <f t="shared" si="2"/>
        <v>0.15560488838387218</v>
      </c>
      <c r="G20" s="17">
        <v>299.35000000000002</v>
      </c>
      <c r="H20" s="19">
        <f t="shared" si="3"/>
        <v>46.580323337712144</v>
      </c>
      <c r="I20" s="29">
        <v>302.35000000000002</v>
      </c>
      <c r="J20" s="17">
        <v>11.958075830967095</v>
      </c>
      <c r="K20" s="20">
        <f t="shared" si="4"/>
        <v>3615.5242274929014</v>
      </c>
      <c r="L20" s="18">
        <f t="shared" si="5"/>
        <v>0.15362109618841591</v>
      </c>
      <c r="M20" s="35">
        <f t="shared" si="6"/>
        <v>46.447338432567555</v>
      </c>
    </row>
    <row r="21" spans="2:13" x14ac:dyDescent="0.25">
      <c r="B21" s="27"/>
      <c r="C21" s="16">
        <v>4</v>
      </c>
      <c r="D21" s="16" t="s">
        <v>8</v>
      </c>
      <c r="E21" s="17">
        <v>1752.01</v>
      </c>
      <c r="F21" s="18">
        <f t="shared" si="2"/>
        <v>7.6158652521176068E-2</v>
      </c>
      <c r="G21" s="17">
        <v>267.45</v>
      </c>
      <c r="H21" s="19">
        <f t="shared" si="3"/>
        <v>20.368631616788537</v>
      </c>
      <c r="I21" s="29">
        <v>347.45</v>
      </c>
      <c r="J21" s="17">
        <v>6.5507945410357076</v>
      </c>
      <c r="K21" s="20">
        <f t="shared" si="4"/>
        <v>2276.0735632828564</v>
      </c>
      <c r="L21" s="18">
        <f t="shared" si="5"/>
        <v>9.6708774107550285E-2</v>
      </c>
      <c r="M21" s="35">
        <f t="shared" si="6"/>
        <v>33.601463563668347</v>
      </c>
    </row>
    <row r="22" spans="2:13" x14ac:dyDescent="0.25">
      <c r="B22" s="27"/>
      <c r="C22" s="16">
        <v>5</v>
      </c>
      <c r="D22" s="16" t="s">
        <v>9</v>
      </c>
      <c r="E22" s="17">
        <v>246.34</v>
      </c>
      <c r="F22" s="18">
        <f t="shared" si="2"/>
        <v>1.0708227956499399E-2</v>
      </c>
      <c r="G22" s="17">
        <v>328.85</v>
      </c>
      <c r="H22" s="19">
        <f t="shared" si="3"/>
        <v>3.5214007634948277</v>
      </c>
      <c r="I22" s="29">
        <v>528.85</v>
      </c>
      <c r="J22" s="17">
        <v>0.74909533221833657</v>
      </c>
      <c r="K22" s="20">
        <f t="shared" si="4"/>
        <v>396.15906644366731</v>
      </c>
      <c r="L22" s="18">
        <f t="shared" si="5"/>
        <v>1.6832521709930971E-2</v>
      </c>
      <c r="M22" s="35">
        <f t="shared" si="6"/>
        <v>8.9018791062969953</v>
      </c>
    </row>
    <row r="23" spans="2:13" x14ac:dyDescent="0.25">
      <c r="B23" s="27"/>
      <c r="C23" s="16">
        <v>6</v>
      </c>
      <c r="D23" s="16" t="s">
        <v>10</v>
      </c>
      <c r="E23" s="17">
        <v>224.99</v>
      </c>
      <c r="F23" s="18">
        <f t="shared" si="2"/>
        <v>9.780158349974831E-3</v>
      </c>
      <c r="G23" s="17">
        <v>149</v>
      </c>
      <c r="H23" s="19">
        <f t="shared" si="3"/>
        <v>1.4572435941462498</v>
      </c>
      <c r="I23" s="29">
        <v>249</v>
      </c>
      <c r="J23" s="17">
        <v>1.51</v>
      </c>
      <c r="K23" s="20">
        <f t="shared" si="4"/>
        <v>375.99</v>
      </c>
      <c r="L23" s="18">
        <f t="shared" si="5"/>
        <v>1.5975552180419156E-2</v>
      </c>
      <c r="M23" s="35">
        <f t="shared" si="6"/>
        <v>3.9779124929243697</v>
      </c>
    </row>
    <row r="24" spans="2:13" x14ac:dyDescent="0.25">
      <c r="B24" s="27"/>
      <c r="C24" s="16">
        <v>7</v>
      </c>
      <c r="D24" s="16" t="s">
        <v>11</v>
      </c>
      <c r="E24" s="17">
        <v>42.08</v>
      </c>
      <c r="F24" s="18">
        <f t="shared" si="2"/>
        <v>1.8291882455528728E-3</v>
      </c>
      <c r="G24" s="17">
        <v>41.25</v>
      </c>
      <c r="H24" s="19">
        <f t="shared" si="3"/>
        <v>7.5454015129056001E-2</v>
      </c>
      <c r="I24" s="29">
        <v>105.25</v>
      </c>
      <c r="J24" s="17">
        <v>1.020121212121212</v>
      </c>
      <c r="K24" s="20">
        <f t="shared" si="4"/>
        <v>107.36775757575757</v>
      </c>
      <c r="L24" s="18">
        <f t="shared" si="5"/>
        <v>4.5619809400412482E-3</v>
      </c>
      <c r="M24" s="35">
        <f t="shared" si="6"/>
        <v>0.48014849393934139</v>
      </c>
    </row>
    <row r="25" spans="2:13" x14ac:dyDescent="0.25">
      <c r="B25" s="27"/>
      <c r="C25" s="16">
        <v>8</v>
      </c>
      <c r="D25" s="16" t="s">
        <v>12</v>
      </c>
      <c r="E25" s="17">
        <v>34.11</v>
      </c>
      <c r="F25" s="18">
        <f t="shared" si="2"/>
        <v>1.482737905318643E-3</v>
      </c>
      <c r="G25" s="17">
        <v>63.6</v>
      </c>
      <c r="H25" s="19">
        <f t="shared" si="3"/>
        <v>9.43021307782657E-2</v>
      </c>
      <c r="I25" s="29">
        <v>67.599999999999994</v>
      </c>
      <c r="J25" s="17">
        <v>0.53632075471698115</v>
      </c>
      <c r="K25" s="20">
        <f t="shared" si="4"/>
        <v>36.255283018867921</v>
      </c>
      <c r="L25" s="18">
        <f t="shared" si="5"/>
        <v>1.540461623138352E-3</v>
      </c>
      <c r="M25" s="35">
        <f t="shared" si="6"/>
        <v>0.10413520572415259</v>
      </c>
    </row>
    <row r="26" spans="2:13" x14ac:dyDescent="0.25">
      <c r="B26" s="27"/>
      <c r="C26" s="16"/>
      <c r="D26" s="21" t="s">
        <v>20</v>
      </c>
      <c r="E26" s="17">
        <f>SUM(E18:E25)</f>
        <v>23004.74</v>
      </c>
      <c r="F26" s="16"/>
      <c r="G26" s="16"/>
      <c r="H26" s="22">
        <f>SUM(H18:H25)</f>
        <v>2060.3194148684142</v>
      </c>
      <c r="I26" s="30"/>
      <c r="J26" s="16"/>
      <c r="K26" s="17">
        <f>SUM(K18:K25)</f>
        <v>23535.336729133018</v>
      </c>
      <c r="L26" s="16"/>
      <c r="M26" s="22">
        <f>SUM(M18:M25)</f>
        <v>2017.9262331479088</v>
      </c>
    </row>
    <row r="28" spans="2:13" x14ac:dyDescent="0.25">
      <c r="C28" s="11" t="s">
        <v>22</v>
      </c>
      <c r="D28" s="12"/>
      <c r="E28" s="12"/>
      <c r="F28" s="13">
        <f>H26</f>
        <v>2060.3194148684142</v>
      </c>
    </row>
    <row r="29" spans="2:13" x14ac:dyDescent="0.25">
      <c r="C29" s="11" t="s">
        <v>27</v>
      </c>
      <c r="D29" s="12"/>
      <c r="E29" s="12"/>
      <c r="F29" s="13">
        <f>M26</f>
        <v>2017.9262331479088</v>
      </c>
    </row>
    <row r="30" spans="2:13" x14ac:dyDescent="0.25">
      <c r="C30" s="11" t="s">
        <v>31</v>
      </c>
      <c r="D30" s="12"/>
      <c r="E30" s="12"/>
      <c r="F30" s="31">
        <f>F29/F28-1</f>
        <v>-2.0576023996363157E-2</v>
      </c>
    </row>
    <row r="32" spans="2:13" x14ac:dyDescent="0.25">
      <c r="B32" s="9" t="s">
        <v>28</v>
      </c>
    </row>
    <row r="34" spans="3:16" x14ac:dyDescent="0.25">
      <c r="C34" s="15" t="s">
        <v>0</v>
      </c>
      <c r="D34" s="15" t="s">
        <v>1</v>
      </c>
      <c r="E34" s="23" t="s">
        <v>3</v>
      </c>
      <c r="F34" s="23" t="s">
        <v>15</v>
      </c>
      <c r="G34" s="23" t="s">
        <v>30</v>
      </c>
      <c r="H34" s="23" t="s">
        <v>32</v>
      </c>
      <c r="I34" s="23" t="s">
        <v>33</v>
      </c>
      <c r="J34" s="23" t="s">
        <v>34</v>
      </c>
      <c r="K34" s="28" t="s">
        <v>23</v>
      </c>
      <c r="L34" s="15" t="s">
        <v>24</v>
      </c>
      <c r="M34" s="23" t="s">
        <v>36</v>
      </c>
      <c r="N34" s="23" t="s">
        <v>37</v>
      </c>
      <c r="O34" s="23" t="s">
        <v>35</v>
      </c>
      <c r="P34" s="14" t="s">
        <v>34</v>
      </c>
    </row>
    <row r="35" spans="3:16" x14ac:dyDescent="0.25">
      <c r="C35" s="16">
        <v>1</v>
      </c>
      <c r="D35" s="16" t="s">
        <v>5</v>
      </c>
      <c r="E35" s="25">
        <v>12610.33</v>
      </c>
      <c r="F35" s="26">
        <v>0.25</v>
      </c>
      <c r="G35" s="25">
        <f>E35*F35</f>
        <v>3152.5825</v>
      </c>
      <c r="H35" s="33">
        <f>G35/$G$43</f>
        <v>0.44128619702808236</v>
      </c>
      <c r="I35" s="17">
        <v>570.9</v>
      </c>
      <c r="J35" s="34">
        <f>I35*H35</f>
        <v>251.93028988333222</v>
      </c>
      <c r="K35" s="29">
        <v>552.9</v>
      </c>
      <c r="L35" s="20">
        <v>22.088509371168332</v>
      </c>
      <c r="M35" s="25">
        <f>K35*L35</f>
        <v>12212.736831318971</v>
      </c>
      <c r="N35" s="37">
        <f>M35*F35</f>
        <v>3053.1842078297427</v>
      </c>
      <c r="O35" s="33">
        <f>N35/$N$43</f>
        <v>0.41525096387841315</v>
      </c>
      <c r="P35" s="34">
        <f>K35*O35</f>
        <v>229.59225792837461</v>
      </c>
    </row>
    <row r="36" spans="3:16" x14ac:dyDescent="0.25">
      <c r="C36" s="16">
        <v>2</v>
      </c>
      <c r="D36" s="16" t="s">
        <v>6</v>
      </c>
      <c r="E36" s="25">
        <v>4515.2299999999996</v>
      </c>
      <c r="F36" s="26">
        <v>0.43969999999999998</v>
      </c>
      <c r="G36" s="25">
        <f>E36*F36</f>
        <v>1985.3466309999997</v>
      </c>
      <c r="H36" s="33">
        <f t="shared" ref="H36:H42" si="7">G36/$G$43</f>
        <v>0.27790107461946051</v>
      </c>
      <c r="I36" s="17">
        <v>8535.4</v>
      </c>
      <c r="J36" s="34">
        <f t="shared" ref="J36:J42" si="8">I36*H36</f>
        <v>2371.9968323069429</v>
      </c>
      <c r="K36" s="29">
        <v>8535.4</v>
      </c>
      <c r="L36" s="17">
        <v>0.52900039834102675</v>
      </c>
      <c r="M36" s="25">
        <f t="shared" ref="M36:M42" si="9">K36*L36</f>
        <v>4515.2299999999996</v>
      </c>
      <c r="N36" s="37">
        <f t="shared" ref="N36:N42" si="10">M36*F36</f>
        <v>1985.3466309999997</v>
      </c>
      <c r="O36" s="33">
        <f t="shared" ref="O36:O42" si="11">N36/$N$43</f>
        <v>0.27001878892250669</v>
      </c>
      <c r="P36" s="34">
        <f t="shared" ref="P36:P42" si="12">K36*O36</f>
        <v>2304.7183709691635</v>
      </c>
    </row>
    <row r="37" spans="3:16" x14ac:dyDescent="0.25">
      <c r="C37" s="16">
        <v>3</v>
      </c>
      <c r="D37" s="16" t="s">
        <v>7</v>
      </c>
      <c r="E37" s="25">
        <v>3579.65</v>
      </c>
      <c r="F37" s="26">
        <v>0.3538</v>
      </c>
      <c r="G37" s="25">
        <f>E37*F37</f>
        <v>1266.48017</v>
      </c>
      <c r="H37" s="33">
        <f t="shared" si="7"/>
        <v>0.17727695241307065</v>
      </c>
      <c r="I37" s="17">
        <v>299.35000000000002</v>
      </c>
      <c r="J37" s="34">
        <f t="shared" si="8"/>
        <v>53.067855704852704</v>
      </c>
      <c r="K37" s="29">
        <v>302.35000000000002</v>
      </c>
      <c r="L37" s="17">
        <v>11.958075830967095</v>
      </c>
      <c r="M37" s="25">
        <f t="shared" si="9"/>
        <v>3615.5242274929014</v>
      </c>
      <c r="N37" s="37">
        <f t="shared" si="10"/>
        <v>1279.1724716869885</v>
      </c>
      <c r="O37" s="33">
        <f t="shared" si="11"/>
        <v>0.17397496046015662</v>
      </c>
      <c r="P37" s="34">
        <f t="shared" si="12"/>
        <v>52.601329295128359</v>
      </c>
    </row>
    <row r="38" spans="3:16" x14ac:dyDescent="0.25">
      <c r="C38" s="16">
        <v>4</v>
      </c>
      <c r="D38" s="16" t="s">
        <v>8</v>
      </c>
      <c r="E38" s="25">
        <v>1752.01</v>
      </c>
      <c r="F38" s="26">
        <v>0.29859999999999998</v>
      </c>
      <c r="G38" s="25">
        <f>E38*F38</f>
        <v>523.15018599999996</v>
      </c>
      <c r="H38" s="33">
        <f t="shared" si="7"/>
        <v>7.3228521713380679E-2</v>
      </c>
      <c r="I38" s="17">
        <v>267.45</v>
      </c>
      <c r="J38" s="34">
        <f t="shared" si="8"/>
        <v>19.584968132243663</v>
      </c>
      <c r="K38" s="29">
        <v>347.45</v>
      </c>
      <c r="L38" s="17">
        <v>6.5507945410357076</v>
      </c>
      <c r="M38" s="25">
        <f t="shared" si="9"/>
        <v>2276.0735632828564</v>
      </c>
      <c r="N38" s="37">
        <f t="shared" si="10"/>
        <v>679.63556599626088</v>
      </c>
      <c r="O38" s="33">
        <f t="shared" si="11"/>
        <v>9.243442408167199E-2</v>
      </c>
      <c r="P38" s="34">
        <f t="shared" si="12"/>
        <v>32.116340647176933</v>
      </c>
    </row>
    <row r="39" spans="3:16" x14ac:dyDescent="0.25">
      <c r="C39" s="16">
        <v>5</v>
      </c>
      <c r="D39" s="16" t="s">
        <v>9</v>
      </c>
      <c r="E39" s="25">
        <v>246.34</v>
      </c>
      <c r="F39" s="26">
        <v>0.55279999999999996</v>
      </c>
      <c r="G39" s="25">
        <f>E39*F39</f>
        <v>136.17675199999999</v>
      </c>
      <c r="H39" s="33">
        <f t="shared" si="7"/>
        <v>1.9061490385649322E-2</v>
      </c>
      <c r="I39" s="17">
        <v>328.85</v>
      </c>
      <c r="J39" s="34">
        <f t="shared" si="8"/>
        <v>6.2683711133207796</v>
      </c>
      <c r="K39" s="29">
        <v>528.85</v>
      </c>
      <c r="L39" s="17">
        <v>0.74909533221833657</v>
      </c>
      <c r="M39" s="25">
        <f t="shared" si="9"/>
        <v>396.15906644366731</v>
      </c>
      <c r="N39" s="37">
        <f t="shared" si="10"/>
        <v>218.99673193005927</v>
      </c>
      <c r="O39" s="33">
        <f t="shared" si="11"/>
        <v>2.9784840294592097E-2</v>
      </c>
      <c r="P39" s="34">
        <f t="shared" si="12"/>
        <v>15.751712789795031</v>
      </c>
    </row>
    <row r="40" spans="3:16" x14ac:dyDescent="0.25">
      <c r="C40" s="16">
        <v>6</v>
      </c>
      <c r="D40" s="16" t="s">
        <v>10</v>
      </c>
      <c r="E40" s="25">
        <v>224.99</v>
      </c>
      <c r="F40" s="26">
        <v>0.2501000000000001</v>
      </c>
      <c r="G40" s="25">
        <f>E40*F40</f>
        <v>56.269999000000027</v>
      </c>
      <c r="H40" s="33">
        <f t="shared" si="7"/>
        <v>7.8764548954655469E-3</v>
      </c>
      <c r="I40" s="17">
        <v>149</v>
      </c>
      <c r="J40" s="34">
        <f t="shared" si="8"/>
        <v>1.1735917794243664</v>
      </c>
      <c r="K40" s="29">
        <v>249</v>
      </c>
      <c r="L40" s="17">
        <v>1.51</v>
      </c>
      <c r="M40" s="25">
        <f t="shared" si="9"/>
        <v>375.99</v>
      </c>
      <c r="N40" s="37">
        <f t="shared" si="10"/>
        <v>94.035099000000045</v>
      </c>
      <c r="O40" s="33">
        <f t="shared" si="11"/>
        <v>1.2789325124247302E-2</v>
      </c>
      <c r="P40" s="34">
        <f t="shared" si="12"/>
        <v>3.1845419559375783</v>
      </c>
    </row>
    <row r="41" spans="3:16" x14ac:dyDescent="0.25">
      <c r="C41" s="16">
        <v>7</v>
      </c>
      <c r="D41" s="16" t="s">
        <v>11</v>
      </c>
      <c r="E41" s="25">
        <v>42.08</v>
      </c>
      <c r="F41" s="26">
        <v>0.2661</v>
      </c>
      <c r="G41" s="25">
        <f>E41*F41</f>
        <v>11.197488</v>
      </c>
      <c r="H41" s="33">
        <f t="shared" si="7"/>
        <v>1.5673806778371661E-3</v>
      </c>
      <c r="I41" s="17">
        <v>41.25</v>
      </c>
      <c r="J41" s="34">
        <f t="shared" si="8"/>
        <v>6.4654452960783107E-2</v>
      </c>
      <c r="K41" s="29">
        <v>105.25</v>
      </c>
      <c r="L41" s="17">
        <v>1.020121212121212</v>
      </c>
      <c r="M41" s="25">
        <f t="shared" si="9"/>
        <v>107.36775757575757</v>
      </c>
      <c r="N41" s="37">
        <f t="shared" si="10"/>
        <v>28.570560290909089</v>
      </c>
      <c r="O41" s="33">
        <f t="shared" si="11"/>
        <v>3.8857638097700704E-3</v>
      </c>
      <c r="P41" s="34">
        <f t="shared" si="12"/>
        <v>0.40897664097829989</v>
      </c>
    </row>
    <row r="42" spans="3:16" x14ac:dyDescent="0.25">
      <c r="C42" s="16">
        <v>8</v>
      </c>
      <c r="D42" s="16" t="s">
        <v>12</v>
      </c>
      <c r="E42" s="25">
        <v>34.11</v>
      </c>
      <c r="F42" s="26">
        <v>0.37740000000000007</v>
      </c>
      <c r="G42" s="25">
        <f>E42*F42</f>
        <v>12.873114000000003</v>
      </c>
      <c r="H42" s="33">
        <f t="shared" si="7"/>
        <v>1.8019282670537463E-3</v>
      </c>
      <c r="I42" s="17">
        <v>63.6</v>
      </c>
      <c r="J42" s="34">
        <f t="shared" si="8"/>
        <v>0.11460263778461827</v>
      </c>
      <c r="K42" s="29">
        <v>67.599999999999994</v>
      </c>
      <c r="L42" s="17">
        <v>0.53632075471698115</v>
      </c>
      <c r="M42" s="25">
        <f t="shared" si="9"/>
        <v>36.255283018867921</v>
      </c>
      <c r="N42" s="37">
        <f t="shared" si="10"/>
        <v>13.682743811320757</v>
      </c>
      <c r="O42" s="33">
        <f t="shared" si="11"/>
        <v>1.8609334286420409E-3</v>
      </c>
      <c r="P42" s="34">
        <f t="shared" si="12"/>
        <v>0.12579909977620196</v>
      </c>
    </row>
    <row r="43" spans="3:16" x14ac:dyDescent="0.25">
      <c r="C43" s="16"/>
      <c r="D43" s="21" t="s">
        <v>20</v>
      </c>
      <c r="E43" s="24"/>
      <c r="F43" s="24"/>
      <c r="G43" s="32">
        <f>SUM(G35:G42)</f>
        <v>7144.0768399999997</v>
      </c>
      <c r="H43" s="24"/>
      <c r="I43" s="24"/>
      <c r="J43" s="22">
        <f>SUM(J35:J42)</f>
        <v>2704.2011660108624</v>
      </c>
      <c r="K43" s="36"/>
      <c r="L43" s="24"/>
      <c r="M43" s="32">
        <f>SUM(M35:M42)</f>
        <v>23535.336729133018</v>
      </c>
      <c r="N43" s="32">
        <f>SUM(N35:N42)</f>
        <v>7352.6240115452811</v>
      </c>
      <c r="O43" s="39"/>
      <c r="P43" s="38">
        <f>SUM(P35:P42)</f>
        <v>2638.4993293263306</v>
      </c>
    </row>
    <row r="45" spans="3:16" x14ac:dyDescent="0.25">
      <c r="C45" s="11" t="s">
        <v>22</v>
      </c>
      <c r="D45" s="12"/>
      <c r="E45" s="12"/>
      <c r="F45" s="13">
        <f>J43</f>
        <v>2704.2011660108624</v>
      </c>
    </row>
    <row r="46" spans="3:16" x14ac:dyDescent="0.25">
      <c r="C46" s="11" t="s">
        <v>27</v>
      </c>
      <c r="D46" s="12"/>
      <c r="E46" s="12"/>
      <c r="F46" s="13">
        <f>P43</f>
        <v>2638.4993293263306</v>
      </c>
    </row>
    <row r="47" spans="3:16" x14ac:dyDescent="0.25">
      <c r="C47" s="11" t="s">
        <v>31</v>
      </c>
      <c r="D47" s="12"/>
      <c r="E47" s="12"/>
      <c r="F47" s="31">
        <f>F46/F45</f>
        <v>0.97570379100847271</v>
      </c>
    </row>
  </sheetData>
  <mergeCells count="1">
    <mergeCell ref="C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talreja</dc:creator>
  <cp:lastModifiedBy>rahul talreja</cp:lastModifiedBy>
  <dcterms:created xsi:type="dcterms:W3CDTF">2025-12-14T07:44:27Z</dcterms:created>
  <dcterms:modified xsi:type="dcterms:W3CDTF">2025-12-14T12:31:50Z</dcterms:modified>
</cp:coreProperties>
</file>